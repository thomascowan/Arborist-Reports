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homas\Documents\GitHub\Aborist-Reports\"/>
    </mc:Choice>
  </mc:AlternateContent>
  <xr:revisionPtr revIDLastSave="0" documentId="13_ncr:1_{572EF581-EF3D-481A-927E-94F3460BA043}" xr6:coauthVersionLast="46" xr6:coauthVersionMax="46" xr10:uidLastSave="{00000000-0000-0000-0000-000000000000}"/>
  <bookViews>
    <workbookView xWindow="-120" yWindow="-120" windowWidth="29040" windowHeight="15750" xr2:uid="{CE0939D9-D75D-46F6-8709-3166B406473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 i="2" l="1"/>
  <c r="M7" i="2"/>
  <c r="N6" i="2"/>
  <c r="M6" i="2"/>
  <c r="N5" i="2"/>
  <c r="M5" i="2"/>
  <c r="N4" i="2"/>
  <c r="M4" i="2"/>
  <c r="N3" i="2"/>
  <c r="M3" i="2"/>
  <c r="N2" i="2"/>
  <c r="M2" i="2"/>
</calcChain>
</file>

<file path=xl/sharedStrings.xml><?xml version="1.0" encoding="utf-8"?>
<sst xmlns="http://schemas.openxmlformats.org/spreadsheetml/2006/main" count="179" uniqueCount="95">
  <si>
    <t>ID</t>
  </si>
  <si>
    <t>Title</t>
  </si>
  <si>
    <t>First Name</t>
  </si>
  <si>
    <t>Surname</t>
  </si>
  <si>
    <t>Street Address</t>
  </si>
  <si>
    <t>Suburb</t>
  </si>
  <si>
    <t>State</t>
  </si>
  <si>
    <t>Postcode</t>
  </si>
  <si>
    <t>Phone Number</t>
  </si>
  <si>
    <t>Inspection Date</t>
  </si>
  <si>
    <t>Mr</t>
  </si>
  <si>
    <t>Thomas</t>
  </si>
  <si>
    <t>Cowan</t>
  </si>
  <si>
    <t>37 Jocelyn BVD</t>
  </si>
  <si>
    <t>Quakers Hill</t>
  </si>
  <si>
    <t>NSW</t>
  </si>
  <si>
    <t>1082492497</t>
  </si>
  <si>
    <t>11/11/2012</t>
  </si>
  <si>
    <t>tohmAZa</t>
  </si>
  <si>
    <t>afsr</t>
  </si>
  <si>
    <t>e5rg</t>
  </si>
  <si>
    <t>we5tg</t>
  </si>
  <si>
    <t>24562345</t>
  </si>
  <si>
    <t>23/05/1924</t>
  </si>
  <si>
    <t>John</t>
  </si>
  <si>
    <t>Smith</t>
  </si>
  <si>
    <t>0410908220</t>
  </si>
  <si>
    <t>11/06/1999</t>
  </si>
  <si>
    <t>Tree ID</t>
  </si>
  <si>
    <t>Client ID</t>
  </si>
  <si>
    <t>Species</t>
  </si>
  <si>
    <t>Common Name</t>
  </si>
  <si>
    <t>Location</t>
  </si>
  <si>
    <t>DBH (mm)</t>
  </si>
  <si>
    <t>DAB(mm)</t>
  </si>
  <si>
    <t>Height(m)</t>
  </si>
  <si>
    <t>Canopy Spread(m)</t>
  </si>
  <si>
    <t>SULE</t>
  </si>
  <si>
    <t>TPZ(m) Radius</t>
  </si>
  <si>
    <t>SRZ (m) Radius</t>
  </si>
  <si>
    <t>TPZM2</t>
  </si>
  <si>
    <t>SRZ M2</t>
  </si>
  <si>
    <t>Distance to development</t>
  </si>
  <si>
    <t>Encroachment - Client</t>
  </si>
  <si>
    <t>Encroachment - Recommended</t>
  </si>
  <si>
    <t>Health And Structure</t>
  </si>
  <si>
    <t>Recommendations</t>
  </si>
  <si>
    <t>Intrusion Present</t>
  </si>
  <si>
    <t>Intrusion Location</t>
  </si>
  <si>
    <t>Intrusion amount</t>
  </si>
  <si>
    <t>Age Class</t>
  </si>
  <si>
    <t>slide</t>
  </si>
  <si>
    <t>Log Jammer</t>
  </si>
  <si>
    <t>Front yard</t>
  </si>
  <si>
    <t>L</t>
  </si>
  <si>
    <t>dd</t>
  </si>
  <si>
    <t>Good</t>
  </si>
  <si>
    <t>Up root the entire tree cause why notUp roo34343434t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t>
  </si>
  <si>
    <t>True</t>
  </si>
  <si>
    <t>North</t>
  </si>
  <si>
    <t>Y</t>
  </si>
  <si>
    <t>obstacle course</t>
  </si>
  <si>
    <t>special ops</t>
  </si>
  <si>
    <t>ddde</t>
  </si>
  <si>
    <t>Up root the entire tree cause why not1</t>
  </si>
  <si>
    <t>South</t>
  </si>
  <si>
    <t>jumping castle</t>
  </si>
  <si>
    <t>frozen</t>
  </si>
  <si>
    <t>aaa</t>
  </si>
  <si>
    <t>Up root the entire tree cause why not2</t>
  </si>
  <si>
    <t>East</t>
  </si>
  <si>
    <t>Up root the entire tree cause why not3</t>
  </si>
  <si>
    <t>West</t>
  </si>
  <si>
    <t>Up root the entire tree cause why notUp r444444444444444oot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notUp root the entire tree cause why not</t>
  </si>
  <si>
    <t>Up root the entire tree cause why not131</t>
  </si>
  <si>
    <t>Quaker Hill</t>
  </si>
  <si>
    <t>q</t>
  </si>
  <si>
    <t>a</t>
  </si>
  <si>
    <t>10m to door</t>
  </si>
  <si>
    <t>333a</t>
  </si>
  <si>
    <t>retain and protect</t>
  </si>
  <si>
    <t>w</t>
  </si>
  <si>
    <t>11/11/1111</t>
  </si>
  <si>
    <t xml:space="preserve">good </t>
  </si>
  <si>
    <t>keep</t>
  </si>
  <si>
    <t>e</t>
  </si>
  <si>
    <t>M</t>
  </si>
  <si>
    <t>50m</t>
  </si>
  <si>
    <t>sickly</t>
  </si>
  <si>
    <t>bin it</t>
  </si>
  <si>
    <t>g</t>
  </si>
  <si>
    <t>22/22/2222</t>
  </si>
  <si>
    <t>l</t>
  </si>
  <si>
    <t>f</t>
  </si>
  <si>
    <t>fk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</si>
</sst>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xf numFmtId="1" fontId="0" fillId="0" borderId="0" xfId="0" applyNumberFormat="1"/>
    <xf numFmtId="4" fontId="0" fillId="0" borderId="0" xfId="0" applyNumberFormat="1"/>
    <xf numFmtId="2" fontId="0" fillId="0" borderId="0" xfId="0" applyNumberFormat="1"/>
    <xf numFmtId="10" fontId="0" fillId="0" borderId="0" xfId="0" applyNumberFormat="1"/>
    <xf numFmtId="1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E598E-D0F3-4EAB-AE18-781556E7A59D}">
  <sheetPr codeName="Sheet1"/>
  <dimension ref="A1:J8"/>
  <sheetViews>
    <sheetView tabSelected="1" workbookViewId="0">
      <selection activeCell="F17" sqref="F17"/>
    </sheetView>
  </sheetViews>
  <sheetFormatPr defaultRowHeight="15" x14ac:dyDescent="0.25"/>
  <sheetData>
    <row r="1" spans="1:10" s="1" customFormat="1" x14ac:dyDescent="0.25">
      <c r="A1" s="1" t="s">
        <v>0</v>
      </c>
      <c r="B1" s="1" t="s">
        <v>1</v>
      </c>
      <c r="C1" s="1" t="s">
        <v>2</v>
      </c>
      <c r="D1" s="1" t="s">
        <v>3</v>
      </c>
      <c r="E1" s="1" t="s">
        <v>4</v>
      </c>
      <c r="F1" s="1" t="s">
        <v>5</v>
      </c>
      <c r="G1" s="1" t="s">
        <v>6</v>
      </c>
      <c r="H1" s="1" t="s">
        <v>7</v>
      </c>
      <c r="I1" s="1" t="s">
        <v>8</v>
      </c>
      <c r="J1" s="1" t="s">
        <v>9</v>
      </c>
    </row>
    <row r="2" spans="1:10" x14ac:dyDescent="0.25">
      <c r="A2" s="2">
        <v>0</v>
      </c>
      <c r="B2" s="1" t="s">
        <v>10</v>
      </c>
      <c r="C2" s="1" t="s">
        <v>11</v>
      </c>
      <c r="D2" s="1" t="s">
        <v>12</v>
      </c>
      <c r="E2" s="1" t="s">
        <v>13</v>
      </c>
      <c r="F2" t="s">
        <v>14</v>
      </c>
      <c r="G2" s="1" t="s">
        <v>15</v>
      </c>
      <c r="H2" s="2">
        <v>2763</v>
      </c>
      <c r="I2" s="1" t="s">
        <v>16</v>
      </c>
      <c r="J2" s="1" t="s">
        <v>17</v>
      </c>
    </row>
    <row r="3" spans="1:10" x14ac:dyDescent="0.25">
      <c r="A3" s="2">
        <v>1</v>
      </c>
      <c r="B3" s="1" t="s">
        <v>10</v>
      </c>
      <c r="C3" s="1" t="s">
        <v>18</v>
      </c>
      <c r="D3" s="1" t="s">
        <v>19</v>
      </c>
      <c r="E3" s="1" t="s">
        <v>20</v>
      </c>
      <c r="F3" s="1" t="s">
        <v>21</v>
      </c>
      <c r="G3" s="1" t="s">
        <v>15</v>
      </c>
      <c r="H3" s="2">
        <v>2454</v>
      </c>
      <c r="I3" s="1" t="s">
        <v>22</v>
      </c>
      <c r="J3" s="1" t="s">
        <v>23</v>
      </c>
    </row>
    <row r="4" spans="1:10" x14ac:dyDescent="0.25">
      <c r="A4" s="2">
        <v>2</v>
      </c>
      <c r="B4" s="1" t="s">
        <v>10</v>
      </c>
      <c r="C4" s="1" t="s">
        <v>24</v>
      </c>
      <c r="D4" s="1" t="s">
        <v>25</v>
      </c>
      <c r="E4" s="1" t="s">
        <v>13</v>
      </c>
      <c r="F4" s="1" t="s">
        <v>14</v>
      </c>
      <c r="G4" s="1" t="s">
        <v>15</v>
      </c>
      <c r="H4" s="2">
        <v>2763</v>
      </c>
      <c r="I4" s="1" t="s">
        <v>26</v>
      </c>
      <c r="J4" s="1" t="s">
        <v>27</v>
      </c>
    </row>
    <row r="5" spans="1:10" x14ac:dyDescent="0.25">
      <c r="A5">
        <v>3</v>
      </c>
      <c r="B5" t="s">
        <v>10</v>
      </c>
      <c r="C5" t="s">
        <v>11</v>
      </c>
      <c r="D5" t="s">
        <v>12</v>
      </c>
      <c r="E5" t="s">
        <v>13</v>
      </c>
      <c r="F5" t="s">
        <v>75</v>
      </c>
      <c r="G5" t="s">
        <v>15</v>
      </c>
      <c r="H5">
        <v>2763</v>
      </c>
      <c r="I5">
        <v>410908220</v>
      </c>
      <c r="J5" s="6">
        <v>44348</v>
      </c>
    </row>
    <row r="6" spans="1:10" x14ac:dyDescent="0.25">
      <c r="A6">
        <v>4</v>
      </c>
      <c r="B6" t="s">
        <v>10</v>
      </c>
      <c r="C6" t="s">
        <v>76</v>
      </c>
      <c r="D6" t="s">
        <v>76</v>
      </c>
      <c r="E6" t="s">
        <v>76</v>
      </c>
      <c r="F6" t="s">
        <v>76</v>
      </c>
      <c r="G6" t="s">
        <v>15</v>
      </c>
      <c r="H6">
        <v>2763</v>
      </c>
      <c r="I6">
        <v>410908220</v>
      </c>
      <c r="J6" s="6">
        <v>44387</v>
      </c>
    </row>
    <row r="7" spans="1:10" x14ac:dyDescent="0.25">
      <c r="A7">
        <v>5</v>
      </c>
      <c r="B7" t="s">
        <v>10</v>
      </c>
      <c r="C7" t="s">
        <v>81</v>
      </c>
      <c r="D7" t="s">
        <v>81</v>
      </c>
      <c r="E7" t="s">
        <v>81</v>
      </c>
      <c r="F7" t="s">
        <v>81</v>
      </c>
      <c r="G7" t="s">
        <v>15</v>
      </c>
      <c r="H7">
        <v>23</v>
      </c>
      <c r="I7">
        <v>2323424</v>
      </c>
      <c r="J7" t="s">
        <v>82</v>
      </c>
    </row>
    <row r="8" spans="1:10" x14ac:dyDescent="0.25">
      <c r="A8">
        <v>6</v>
      </c>
      <c r="B8" t="s">
        <v>10</v>
      </c>
      <c r="C8" t="s">
        <v>90</v>
      </c>
      <c r="D8" t="s">
        <v>90</v>
      </c>
      <c r="E8" t="s">
        <v>90</v>
      </c>
      <c r="F8" t="s">
        <v>90</v>
      </c>
      <c r="G8" t="s">
        <v>15</v>
      </c>
      <c r="H8">
        <v>32</v>
      </c>
      <c r="I8">
        <v>23</v>
      </c>
      <c r="J8" t="s">
        <v>91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22591-FA96-4C9F-AB1C-ABD32D523CE8}">
  <sheetPr codeName="Sheet2"/>
  <dimension ref="A1:W11"/>
  <sheetViews>
    <sheetView workbookViewId="0">
      <selection activeCell="C8" sqref="C8"/>
    </sheetView>
  </sheetViews>
  <sheetFormatPr defaultRowHeight="15" x14ac:dyDescent="0.25"/>
  <sheetData>
    <row r="1" spans="1:23" s="1" customFormat="1" x14ac:dyDescent="0.25">
      <c r="A1" s="1" t="s">
        <v>28</v>
      </c>
      <c r="B1" s="1" t="s">
        <v>29</v>
      </c>
      <c r="C1" s="1" t="s">
        <v>30</v>
      </c>
      <c r="D1" s="1" t="s">
        <v>31</v>
      </c>
      <c r="E1" s="1" t="s">
        <v>32</v>
      </c>
      <c r="F1" s="1" t="s">
        <v>33</v>
      </c>
      <c r="G1" s="1" t="s">
        <v>34</v>
      </c>
      <c r="H1" s="1" t="s">
        <v>35</v>
      </c>
      <c r="I1" s="1" t="s">
        <v>36</v>
      </c>
      <c r="J1" s="1" t="s">
        <v>37</v>
      </c>
      <c r="K1" s="1" t="s">
        <v>38</v>
      </c>
      <c r="L1" s="1" t="s">
        <v>39</v>
      </c>
      <c r="M1" s="1" t="s">
        <v>40</v>
      </c>
      <c r="N1" s="1" t="s">
        <v>41</v>
      </c>
      <c r="O1" s="1" t="s">
        <v>42</v>
      </c>
      <c r="P1" s="1" t="s">
        <v>43</v>
      </c>
      <c r="Q1" s="1" t="s">
        <v>44</v>
      </c>
      <c r="R1" s="1" t="s">
        <v>45</v>
      </c>
      <c r="S1" s="1" t="s">
        <v>46</v>
      </c>
      <c r="T1" s="1" t="s">
        <v>47</v>
      </c>
      <c r="U1" s="1" t="s">
        <v>48</v>
      </c>
      <c r="V1" s="1" t="s">
        <v>49</v>
      </c>
      <c r="W1" s="1" t="s">
        <v>50</v>
      </c>
    </row>
    <row r="2" spans="1:23" x14ac:dyDescent="0.25">
      <c r="A2" s="2">
        <v>1</v>
      </c>
      <c r="B2" s="2">
        <v>1</v>
      </c>
      <c r="C2" s="1" t="s">
        <v>51</v>
      </c>
      <c r="D2" s="1" t="s">
        <v>52</v>
      </c>
      <c r="E2" s="1" t="s">
        <v>53</v>
      </c>
      <c r="F2" s="3">
        <v>362.87</v>
      </c>
      <c r="G2" s="3">
        <v>385</v>
      </c>
      <c r="H2" s="3">
        <v>5</v>
      </c>
      <c r="I2" s="3">
        <v>6</v>
      </c>
      <c r="J2" s="1" t="s">
        <v>54</v>
      </c>
      <c r="K2" s="4">
        <v>4.3499999999999996</v>
      </c>
      <c r="L2" s="4">
        <v>2.25</v>
      </c>
      <c r="M2" s="4">
        <f t="shared" ref="M2:N3" si="0">IF(K2="","",(K2*K2*PI()))</f>
        <v>59.446786987552848</v>
      </c>
      <c r="N2" s="4">
        <f t="shared" si="0"/>
        <v>15.904312808798327</v>
      </c>
      <c r="O2" s="1" t="s">
        <v>55</v>
      </c>
      <c r="P2" s="5">
        <v>1</v>
      </c>
      <c r="Q2" s="5">
        <v>1</v>
      </c>
      <c r="R2" s="1" t="s">
        <v>56</v>
      </c>
      <c r="S2" s="1" t="s">
        <v>57</v>
      </c>
      <c r="T2" s="1" t="s">
        <v>58</v>
      </c>
      <c r="U2" s="1" t="s">
        <v>59</v>
      </c>
      <c r="V2" s="4">
        <v>1</v>
      </c>
      <c r="W2" s="1" t="s">
        <v>60</v>
      </c>
    </row>
    <row r="3" spans="1:23" ht="14.25" customHeight="1" x14ac:dyDescent="0.25">
      <c r="A3" s="2">
        <v>2</v>
      </c>
      <c r="B3" s="2">
        <v>1</v>
      </c>
      <c r="C3" s="1" t="s">
        <v>61</v>
      </c>
      <c r="D3" s="1" t="s">
        <v>62</v>
      </c>
      <c r="E3" s="1" t="s">
        <v>53</v>
      </c>
      <c r="F3" s="3">
        <v>783.04</v>
      </c>
      <c r="G3" s="3">
        <v>385</v>
      </c>
      <c r="H3" s="3">
        <v>5</v>
      </c>
      <c r="I3" s="3">
        <v>5</v>
      </c>
      <c r="J3" s="1" t="s">
        <v>54</v>
      </c>
      <c r="K3" s="4">
        <v>9.4</v>
      </c>
      <c r="L3" s="4">
        <v>3.5</v>
      </c>
      <c r="M3" s="4">
        <f t="shared" si="0"/>
        <v>277.59112687119415</v>
      </c>
      <c r="N3" s="4">
        <f t="shared" si="0"/>
        <v>38.484510006474963</v>
      </c>
      <c r="O3" s="1" t="s">
        <v>63</v>
      </c>
      <c r="P3" s="5">
        <v>1</v>
      </c>
      <c r="Q3" s="5">
        <v>1</v>
      </c>
      <c r="R3" s="1" t="s">
        <v>56</v>
      </c>
      <c r="S3" s="1" t="s">
        <v>64</v>
      </c>
      <c r="T3" s="1" t="s">
        <v>58</v>
      </c>
      <c r="U3" s="1" t="s">
        <v>65</v>
      </c>
      <c r="V3" s="4">
        <v>2</v>
      </c>
      <c r="W3" s="1" t="s">
        <v>60</v>
      </c>
    </row>
    <row r="4" spans="1:23" x14ac:dyDescent="0.25">
      <c r="A4" s="2">
        <v>1</v>
      </c>
      <c r="B4" s="2">
        <v>2</v>
      </c>
      <c r="C4" s="1" t="s">
        <v>66</v>
      </c>
      <c r="D4" s="1" t="s">
        <v>67</v>
      </c>
      <c r="E4" s="1" t="s">
        <v>53</v>
      </c>
      <c r="F4" s="3">
        <v>216.45</v>
      </c>
      <c r="G4" s="3">
        <v>385</v>
      </c>
      <c r="H4" s="3">
        <v>5</v>
      </c>
      <c r="I4" s="3">
        <v>6</v>
      </c>
      <c r="J4" s="1" t="s">
        <v>54</v>
      </c>
      <c r="K4" s="4">
        <v>2.6</v>
      </c>
      <c r="L4" s="4">
        <v>1.92</v>
      </c>
      <c r="M4" s="4">
        <f>IF(K4="","",(K4*K4*PI()))</f>
        <v>21.237166338267002</v>
      </c>
      <c r="N4" s="4">
        <f>IF(L4="","",(L4*L4*PI()))</f>
        <v>11.581167158193413</v>
      </c>
      <c r="O4" s="1" t="s">
        <v>68</v>
      </c>
      <c r="P4" s="5">
        <v>1</v>
      </c>
      <c r="Q4" s="5">
        <v>1</v>
      </c>
      <c r="R4" s="1" t="s">
        <v>56</v>
      </c>
      <c r="S4" s="1" t="s">
        <v>69</v>
      </c>
      <c r="T4" s="1" t="s">
        <v>58</v>
      </c>
      <c r="U4" s="1" t="s">
        <v>70</v>
      </c>
      <c r="V4" s="4">
        <v>2</v>
      </c>
      <c r="W4" s="1" t="s">
        <v>60</v>
      </c>
    </row>
    <row r="5" spans="1:23" x14ac:dyDescent="0.25">
      <c r="A5" s="2">
        <v>2</v>
      </c>
      <c r="B5" s="2">
        <v>2</v>
      </c>
      <c r="C5" s="1" t="s">
        <v>51</v>
      </c>
      <c r="D5" s="1" t="s">
        <v>52</v>
      </c>
      <c r="E5" s="1" t="s">
        <v>53</v>
      </c>
      <c r="F5" s="3">
        <v>362.87</v>
      </c>
      <c r="G5" s="3">
        <v>385</v>
      </c>
      <c r="H5" s="3">
        <v>5</v>
      </c>
      <c r="I5" s="3">
        <v>6</v>
      </c>
      <c r="J5" s="1" t="s">
        <v>54</v>
      </c>
      <c r="K5" s="4">
        <v>1</v>
      </c>
      <c r="L5" s="4">
        <v>2</v>
      </c>
      <c r="M5" s="4">
        <f t="shared" ref="M5:N7" si="1">IF(K5="","",(K5*K5*PI()))</f>
        <v>3.1415926535897931</v>
      </c>
      <c r="N5" s="4">
        <f t="shared" si="1"/>
        <v>12.566370614359172</v>
      </c>
      <c r="O5" s="1" t="s">
        <v>55</v>
      </c>
      <c r="P5" s="5">
        <v>1</v>
      </c>
      <c r="Q5" s="5">
        <v>1</v>
      </c>
      <c r="R5" s="1" t="s">
        <v>56</v>
      </c>
      <c r="S5" s="1" t="s">
        <v>71</v>
      </c>
      <c r="T5" s="1" t="s">
        <v>58</v>
      </c>
      <c r="U5" s="1" t="s">
        <v>72</v>
      </c>
      <c r="V5" s="4">
        <v>4</v>
      </c>
      <c r="W5" s="1" t="s">
        <v>60</v>
      </c>
    </row>
    <row r="6" spans="1:23" x14ac:dyDescent="0.25">
      <c r="A6" s="2">
        <v>3</v>
      </c>
      <c r="B6" s="2">
        <v>2</v>
      </c>
      <c r="C6" s="1" t="s">
        <v>51</v>
      </c>
      <c r="D6" s="1" t="s">
        <v>52</v>
      </c>
      <c r="E6" s="1" t="s">
        <v>53</v>
      </c>
      <c r="F6" s="3">
        <v>362.87</v>
      </c>
      <c r="G6" s="3">
        <v>385</v>
      </c>
      <c r="H6" s="3">
        <v>5</v>
      </c>
      <c r="I6" s="3">
        <v>6</v>
      </c>
      <c r="J6" s="1" t="s">
        <v>54</v>
      </c>
      <c r="K6" s="4">
        <v>4.3499999999999996</v>
      </c>
      <c r="L6" s="4">
        <v>2.25</v>
      </c>
      <c r="M6" s="4">
        <f t="shared" si="1"/>
        <v>59.446786987552848</v>
      </c>
      <c r="N6" s="4">
        <f t="shared" si="1"/>
        <v>15.904312808798327</v>
      </c>
      <c r="O6" s="1" t="s">
        <v>55</v>
      </c>
      <c r="P6" s="5">
        <v>1</v>
      </c>
      <c r="Q6" s="5">
        <v>1</v>
      </c>
      <c r="R6" s="1" t="s">
        <v>56</v>
      </c>
      <c r="S6" s="1" t="s">
        <v>73</v>
      </c>
      <c r="T6" s="1" t="s">
        <v>58</v>
      </c>
      <c r="U6" s="1" t="s">
        <v>59</v>
      </c>
      <c r="V6" s="4">
        <v>2</v>
      </c>
      <c r="W6" s="1" t="s">
        <v>60</v>
      </c>
    </row>
    <row r="7" spans="1:23" ht="14.25" customHeight="1" x14ac:dyDescent="0.25">
      <c r="A7" s="2">
        <v>4</v>
      </c>
      <c r="B7" s="2">
        <v>2</v>
      </c>
      <c r="C7" s="1" t="s">
        <v>61</v>
      </c>
      <c r="D7" s="1" t="s">
        <v>62</v>
      </c>
      <c r="E7" s="1" t="s">
        <v>53</v>
      </c>
      <c r="F7" s="3">
        <v>783.04</v>
      </c>
      <c r="G7" s="3">
        <v>385</v>
      </c>
      <c r="H7" s="3">
        <v>5</v>
      </c>
      <c r="I7" s="3">
        <v>5</v>
      </c>
      <c r="J7" s="1" t="s">
        <v>54</v>
      </c>
      <c r="K7" s="4">
        <v>9.4</v>
      </c>
      <c r="L7" s="4">
        <v>3.5</v>
      </c>
      <c r="M7" s="4">
        <f t="shared" si="1"/>
        <v>277.59112687119415</v>
      </c>
      <c r="N7" s="4">
        <f t="shared" si="1"/>
        <v>38.484510006474963</v>
      </c>
      <c r="O7" s="1" t="s">
        <v>63</v>
      </c>
      <c r="P7" s="5">
        <v>1</v>
      </c>
      <c r="Q7" s="5">
        <v>1</v>
      </c>
      <c r="R7" s="1" t="s">
        <v>56</v>
      </c>
      <c r="S7" s="1" t="s">
        <v>74</v>
      </c>
      <c r="T7" s="1" t="s">
        <v>58</v>
      </c>
      <c r="U7" s="1" t="s">
        <v>65</v>
      </c>
      <c r="V7" s="4">
        <v>6</v>
      </c>
      <c r="W7" s="1" t="s">
        <v>60</v>
      </c>
    </row>
    <row r="8" spans="1:23" x14ac:dyDescent="0.25">
      <c r="A8">
        <v>5</v>
      </c>
      <c r="B8">
        <v>4</v>
      </c>
      <c r="C8" t="s">
        <v>77</v>
      </c>
      <c r="D8" t="s">
        <v>77</v>
      </c>
      <c r="E8" t="s">
        <v>77</v>
      </c>
      <c r="F8">
        <v>500</v>
      </c>
      <c r="G8">
        <v>600</v>
      </c>
      <c r="H8">
        <v>7</v>
      </c>
      <c r="I8">
        <v>6</v>
      </c>
      <c r="J8" t="s">
        <v>54</v>
      </c>
      <c r="K8">
        <v>0</v>
      </c>
      <c r="L8">
        <v>0</v>
      </c>
      <c r="M8">
        <v>0</v>
      </c>
      <c r="N8">
        <v>0</v>
      </c>
      <c r="O8" t="s">
        <v>78</v>
      </c>
      <c r="P8">
        <v>50</v>
      </c>
      <c r="Q8">
        <v>40</v>
      </c>
      <c r="R8" t="s">
        <v>79</v>
      </c>
      <c r="S8" t="s">
        <v>80</v>
      </c>
      <c r="T8" t="b">
        <v>1</v>
      </c>
      <c r="U8" t="s">
        <v>65</v>
      </c>
      <c r="V8">
        <v>2</v>
      </c>
      <c r="W8" t="s">
        <v>60</v>
      </c>
    </row>
    <row r="9" spans="1:23" x14ac:dyDescent="0.25">
      <c r="A9">
        <v>6</v>
      </c>
      <c r="B9">
        <v>5</v>
      </c>
      <c r="C9" t="s">
        <v>76</v>
      </c>
      <c r="D9" t="s">
        <v>76</v>
      </c>
      <c r="E9" t="s">
        <v>76</v>
      </c>
      <c r="F9">
        <v>500</v>
      </c>
      <c r="G9">
        <v>600</v>
      </c>
      <c r="H9">
        <v>7</v>
      </c>
      <c r="I9">
        <v>7</v>
      </c>
      <c r="J9" t="s">
        <v>54</v>
      </c>
      <c r="K9">
        <v>0</v>
      </c>
      <c r="L9">
        <v>0</v>
      </c>
      <c r="M9">
        <v>0</v>
      </c>
      <c r="N9">
        <v>0</v>
      </c>
      <c r="O9" t="s">
        <v>78</v>
      </c>
      <c r="P9">
        <v>50</v>
      </c>
      <c r="Q9">
        <v>40</v>
      </c>
      <c r="R9" t="s">
        <v>83</v>
      </c>
      <c r="S9" t="s">
        <v>84</v>
      </c>
      <c r="T9" t="b">
        <v>1</v>
      </c>
      <c r="U9" t="s">
        <v>65</v>
      </c>
      <c r="V9">
        <v>4</v>
      </c>
      <c r="W9" t="s">
        <v>60</v>
      </c>
    </row>
    <row r="10" spans="1:23" x14ac:dyDescent="0.25">
      <c r="A10">
        <v>7</v>
      </c>
      <c r="B10">
        <v>5</v>
      </c>
      <c r="C10" t="s">
        <v>85</v>
      </c>
      <c r="D10" t="s">
        <v>85</v>
      </c>
      <c r="E10" t="s">
        <v>85</v>
      </c>
      <c r="F10">
        <v>400</v>
      </c>
      <c r="G10">
        <v>450</v>
      </c>
      <c r="H10">
        <v>5</v>
      </c>
      <c r="I10">
        <v>3</v>
      </c>
      <c r="J10" t="s">
        <v>86</v>
      </c>
      <c r="K10">
        <v>0</v>
      </c>
      <c r="L10">
        <v>0</v>
      </c>
      <c r="M10">
        <v>0</v>
      </c>
      <c r="N10">
        <v>0</v>
      </c>
      <c r="O10" t="s">
        <v>87</v>
      </c>
      <c r="P10">
        <v>50</v>
      </c>
      <c r="Q10">
        <v>60</v>
      </c>
      <c r="R10" t="s">
        <v>88</v>
      </c>
      <c r="S10" t="s">
        <v>89</v>
      </c>
      <c r="T10" t="b">
        <v>1</v>
      </c>
      <c r="U10" t="s">
        <v>70</v>
      </c>
      <c r="V10">
        <v>1</v>
      </c>
      <c r="W10" t="s">
        <v>60</v>
      </c>
    </row>
    <row r="11" spans="1:23" x14ac:dyDescent="0.25">
      <c r="A11">
        <v>8</v>
      </c>
      <c r="B11">
        <v>6</v>
      </c>
      <c r="C11" t="s">
        <v>92</v>
      </c>
      <c r="D11" t="s">
        <v>92</v>
      </c>
      <c r="E11" t="s">
        <v>92</v>
      </c>
      <c r="F11">
        <v>1</v>
      </c>
      <c r="G11">
        <v>1</v>
      </c>
      <c r="H11">
        <v>1</v>
      </c>
      <c r="I11">
        <v>1</v>
      </c>
      <c r="J11" t="s">
        <v>93</v>
      </c>
      <c r="K11">
        <v>0</v>
      </c>
      <c r="L11">
        <v>0</v>
      </c>
      <c r="M11">
        <v>0</v>
      </c>
      <c r="N11">
        <v>0</v>
      </c>
      <c r="O11" t="s">
        <v>94</v>
      </c>
      <c r="P11">
        <v>3</v>
      </c>
      <c r="Q11">
        <v>2</v>
      </c>
      <c r="R11" t="s">
        <v>85</v>
      </c>
      <c r="S11" t="s">
        <v>85</v>
      </c>
      <c r="T11" t="b">
        <v>1</v>
      </c>
      <c r="U11" t="s">
        <v>72</v>
      </c>
      <c r="V11">
        <v>1</v>
      </c>
      <c r="W11" t="s">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Thomas</cp:lastModifiedBy>
  <dcterms:created xsi:type="dcterms:W3CDTF">2021-02-05T11:30:53Z</dcterms:created>
  <dcterms:modified xsi:type="dcterms:W3CDTF">2021-02-08T07:58:31Z</dcterms:modified>
</cp:coreProperties>
</file>